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lb" ContentType="model/gltf.binary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505e40796e3e55/Desktop/Github/"/>
    </mc:Choice>
  </mc:AlternateContent>
  <xr:revisionPtr revIDLastSave="5" documentId="13_ncr:1_{D68BA124-5F5D-40F9-BD4B-8A65417DA0B1}" xr6:coauthVersionLast="47" xr6:coauthVersionMax="47" xr10:uidLastSave="{4B4E665D-3AE0-4E70-94C0-AF1B4761F083}"/>
  <bookViews>
    <workbookView xWindow="-108" yWindow="-108" windowWidth="23256" windowHeight="13896" activeTab="2" xr2:uid="{7E9051AE-43E5-4866-AD98-16EB41ACEF65}"/>
  </bookViews>
  <sheets>
    <sheet name="Basic Info" sheetId="1" r:id="rId1"/>
    <sheet name="Customer Satisfaction" sheetId="6" r:id="rId2"/>
    <sheet name="Dashboards" sheetId="3" r:id="rId3"/>
    <sheet name="Competitor Analysis" sheetId="2" r:id="rId4"/>
    <sheet name="Competitor Dashboar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6" l="1"/>
  <c r="A16" i="6"/>
  <c r="A14" i="6"/>
  <c r="A12" i="6"/>
  <c r="A10" i="6"/>
  <c r="A8" i="6"/>
  <c r="A6" i="6"/>
  <c r="C19" i="6" s="1"/>
  <c r="A4" i="6"/>
</calcChain>
</file>

<file path=xl/sharedStrings.xml><?xml version="1.0" encoding="utf-8"?>
<sst xmlns="http://schemas.openxmlformats.org/spreadsheetml/2006/main" count="156" uniqueCount="128">
  <si>
    <t>Metric</t>
  </si>
  <si>
    <t>Value</t>
  </si>
  <si>
    <t>Notes</t>
  </si>
  <si>
    <t>Business Profile</t>
  </si>
  <si>
    <t>Year Established (Current Location)</t>
  </si>
  <si>
    <t>Daily Operating Hours</t>
  </si>
  <si>
    <t>6 hours</t>
  </si>
  <si>
    <t>(10:00 AM - 1:00 PM &amp; 5:00 PM - 8:00 PM)</t>
  </si>
  <si>
    <t>Daily Customers</t>
  </si>
  <si>
    <t>~50</t>
  </si>
  <si>
    <t>Average footfall</t>
  </si>
  <si>
    <t>Sales &amp; Product Mix</t>
  </si>
  <si>
    <t>Online Orders (%)</t>
  </si>
  <si>
    <t>In-Store Visits (%)</t>
  </si>
  <si>
    <t>Medicine Revenue (%)</t>
  </si>
  <si>
    <t>Cosmetics Revenue (%)</t>
  </si>
  <si>
    <t>Impacted by quick-commerce</t>
  </si>
  <si>
    <t>Financial Performance</t>
  </si>
  <si>
    <t>Gross Profit Margin (Medicines)</t>
  </si>
  <si>
    <t>Before discounts</t>
  </si>
  <si>
    <t>Net Profit Margin (Medicines)</t>
  </si>
  <si>
    <t>After discounts</t>
  </si>
  <si>
    <t>Net Profit Margin (Cosmetics)</t>
  </si>
  <si>
    <t>Operational Details</t>
  </si>
  <si>
    <t>Number of Suppliers</t>
  </si>
  <si>
    <t>~10</t>
  </si>
  <si>
    <t>5 are major suppliers</t>
  </si>
  <si>
    <t>Number of Staff</t>
  </si>
  <si>
    <t>Amit &amp; Anoop</t>
  </si>
  <si>
    <t>License Renewal Frequency</t>
  </si>
  <si>
    <t>Biennial</t>
  </si>
  <si>
    <t>Expired Medicine Reimbursement</t>
  </si>
  <si>
    <t>Received from companies</t>
  </si>
  <si>
    <t>Feature</t>
  </si>
  <si>
    <t>Kamalika Kemists</t>
  </si>
  <si>
    <t>Medicine Point</t>
  </si>
  <si>
    <t>Santosh Medical</t>
  </si>
  <si>
    <t>Wellcare Medicos</t>
  </si>
  <si>
    <t>Business Model</t>
  </si>
  <si>
    <t>Service &amp; Relationship-Focused</t>
  </si>
  <si>
    <t>Price &amp; Discount-Focused</t>
  </si>
  <si>
    <t>Traditional Walk-in</t>
  </si>
  <si>
    <t>Diversified One-Stop-Shop</t>
  </si>
  <si>
    <t>Product Range</t>
  </si>
  <si>
    <t>Allopathic, some cosmetics</t>
  </si>
  <si>
    <t>Allopathic &amp; cosmetics</t>
  </si>
  <si>
    <t>Allopathic, homeopathic, cosmetics</t>
  </si>
  <si>
    <t>Allopathic, cosmetics, pet products</t>
  </si>
  <si>
    <t>Key Service</t>
  </si>
  <si>
    <t>Unconditional Home Delivery</t>
  </si>
  <si>
    <t>Home delivery (min. order ₹200)</t>
  </si>
  <si>
    <t>No Delivery Service</t>
  </si>
  <si>
    <t>In-store convenience</t>
  </si>
  <si>
    <t>Discount Strategy</t>
  </si>
  <si>
    <t>Record Keeping</t>
  </si>
  <si>
    <t>Manual</t>
  </si>
  <si>
    <t>Key Strength</t>
  </si>
  <si>
    <t>Trust, Reputation, &amp; Delivery</t>
  </si>
  <si>
    <t>High Margins &amp; Discounts</t>
  </si>
  <si>
    <t>Broader medical range &amp; higher margins</t>
  </si>
  <si>
    <t>Product Diversification</t>
  </si>
  <si>
    <t>Via WhatsApp and Call</t>
  </si>
  <si>
    <t>Revenue</t>
  </si>
  <si>
    <t>Gross Profit Margin</t>
  </si>
  <si>
    <t>Net Profit Margin</t>
  </si>
  <si>
    <t>Medicine</t>
  </si>
  <si>
    <t>Cosmetics</t>
  </si>
  <si>
    <t>Gross Profit Margin (Cosmetics)</t>
  </si>
  <si>
    <t>Kamalika Kemists (ESTD. 1995)</t>
  </si>
  <si>
    <t>Profit Margins Medicines</t>
  </si>
  <si>
    <t>Profit Margins Cosmetics</t>
  </si>
  <si>
    <t>Digital</t>
  </si>
  <si>
    <t>Competitor Analysis</t>
  </si>
  <si>
    <t>Trust</t>
  </si>
  <si>
    <t>Discounts</t>
  </si>
  <si>
    <t>Delivery</t>
  </si>
  <si>
    <t>Customer Experience</t>
  </si>
  <si>
    <t>5 - Highest / 1 - Lowest</t>
  </si>
  <si>
    <t>Scale</t>
  </si>
  <si>
    <t>Competitor</t>
  </si>
  <si>
    <t>Price Aggressiveness (1-5)</t>
  </si>
  <si>
    <t>Service Orientation (1-5)</t>
  </si>
  <si>
    <t>ANALYSIS CRITERIA AND AVERAGE RATINGS</t>
  </si>
  <si>
    <t>CUSTOMER AND RATING(OUT OF 5)</t>
  </si>
  <si>
    <t>CUSTOMER 1</t>
  </si>
  <si>
    <t>CUSTOMER 2</t>
  </si>
  <si>
    <t>CUSTOMER 3</t>
  </si>
  <si>
    <t>CUSTOMER 4</t>
  </si>
  <si>
    <t>CUSTOMER 5</t>
  </si>
  <si>
    <t>MEDICINE AVAILABILITY</t>
  </si>
  <si>
    <t>Available</t>
  </si>
  <si>
    <t>Not available but gave other brand in same specification</t>
  </si>
  <si>
    <t>ORDER TYPE AND EASE OF PLACING ORDER</t>
  </si>
  <si>
    <t>Offline</t>
  </si>
  <si>
    <t>Online(via whatsapp)</t>
  </si>
  <si>
    <t>On call</t>
  </si>
  <si>
    <t>DELIVERY RATE</t>
  </si>
  <si>
    <t>Instant</t>
  </si>
  <si>
    <t>10 minutes</t>
  </si>
  <si>
    <t>Within an hour</t>
  </si>
  <si>
    <t>PACKAGING</t>
  </si>
  <si>
    <t>Safe and sustainable</t>
  </si>
  <si>
    <t>Paper bag</t>
  </si>
  <si>
    <t>I refused to take any packaging</t>
  </si>
  <si>
    <t xml:space="preserve">Safe </t>
  </si>
  <si>
    <t>STAFF BEHAVIOUR</t>
  </si>
  <si>
    <t>Friendly</t>
  </si>
  <si>
    <t>Humble</t>
  </si>
  <si>
    <t>Supportive</t>
  </si>
  <si>
    <t>Responsive</t>
  </si>
  <si>
    <t>Welcoming</t>
  </si>
  <si>
    <t>KNOWLEDGE ABOUT MEDICINE</t>
  </si>
  <si>
    <t xml:space="preserve">Good idea about medecine </t>
  </si>
  <si>
    <t>Fair idea about combinations and alternatives</t>
  </si>
  <si>
    <t>Good knowledge about dosage</t>
  </si>
  <si>
    <t>Correct medicine combination given</t>
  </si>
  <si>
    <t>Good idea about chemical formula</t>
  </si>
  <si>
    <t>LOCATION AND SURROUNDING OF SHOP</t>
  </si>
  <si>
    <t>Hygenic</t>
  </si>
  <si>
    <t>Not on the main road, took some time to locate</t>
  </si>
  <si>
    <t>Not visited</t>
  </si>
  <si>
    <t>Close to my place and clean shop</t>
  </si>
  <si>
    <t>EXPIRY OF MEDICINE</t>
  </si>
  <si>
    <t>Not soon</t>
  </si>
  <si>
    <t>Approx one year later</t>
  </si>
  <si>
    <t>New medicine</t>
  </si>
  <si>
    <t>After 2 month</t>
  </si>
  <si>
    <t xml:space="preserve"> OVERALL  CUSTOMER  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</si>
</sst>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u/>
      <sz val="36"/>
      <color theme="1"/>
      <name val="Aptos Narrow"/>
      <family val="2"/>
      <scheme val="minor"/>
    </font>
    <font>
      <b/>
      <i/>
      <u/>
      <sz val="36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3" tint="0.499984740745262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5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9" fontId="0" fillId="0" borderId="0" xfId="0" applyNumberFormat="1"/>
    <xf numFmtId="0" fontId="2" fillId="0" borderId="0" xfId="0" applyFont="1"/>
    <xf numFmtId="9" fontId="0" fillId="0" borderId="0" xfId="1" applyFont="1"/>
    <xf numFmtId="10" fontId="0" fillId="0" borderId="0" xfId="0" applyNumberFormat="1"/>
    <xf numFmtId="0" fontId="0" fillId="2" borderId="0" xfId="0" applyFill="1"/>
    <xf numFmtId="0" fontId="0" fillId="3" borderId="0" xfId="0" applyFill="1"/>
    <xf numFmtId="0" fontId="5" fillId="4" borderId="1" xfId="0" applyFont="1" applyFill="1" applyBorder="1" applyAlignment="1">
      <alignment vertical="top" wrapText="1"/>
    </xf>
    <xf numFmtId="0" fontId="2" fillId="5" borderId="5" xfId="0" applyFont="1" applyFill="1" applyBorder="1" applyAlignment="1">
      <alignment vertical="top" wrapText="1"/>
    </xf>
    <xf numFmtId="0" fontId="2" fillId="5" borderId="3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6" fillId="6" borderId="6" xfId="0" applyFont="1" applyFill="1" applyBorder="1" applyAlignment="1">
      <alignment vertical="top" wrapText="1"/>
    </xf>
    <xf numFmtId="0" fontId="2" fillId="6" borderId="7" xfId="0" applyFont="1" applyFill="1" applyBorder="1" applyAlignment="1">
      <alignment horizontal="center" vertical="top" wrapText="1"/>
    </xf>
    <xf numFmtId="0" fontId="2" fillId="6" borderId="8" xfId="0" applyFont="1" applyFill="1" applyBorder="1" applyAlignment="1">
      <alignment horizontal="center" vertical="top" wrapText="1"/>
    </xf>
    <xf numFmtId="0" fontId="8" fillId="6" borderId="10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5" fillId="4" borderId="2" xfId="0" applyFont="1" applyFill="1" applyBorder="1" applyAlignment="1">
      <alignment horizontal="center" vertical="top" wrapText="1"/>
    </xf>
    <xf numFmtId="0" fontId="5" fillId="4" borderId="3" xfId="0" applyFont="1" applyFill="1" applyBorder="1" applyAlignment="1">
      <alignment horizontal="center" vertical="top" wrapText="1"/>
    </xf>
    <xf numFmtId="0" fontId="5" fillId="4" borderId="4" xfId="0" applyFont="1" applyFill="1" applyBorder="1" applyAlignment="1">
      <alignment horizontal="center" vertical="top" wrapText="1"/>
    </xf>
    <xf numFmtId="0" fontId="7" fillId="5" borderId="9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8"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'Basic Info'!$E$2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94B-4F1A-B21A-B2A04BF747F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94B-4F1A-B21A-B2A04BF747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'Basic Info'!$F$1:$G$1</c:f>
              <c:strCache>
                <c:ptCount val="2"/>
                <c:pt idx="0">
                  <c:v>Medicine</c:v>
                </c:pt>
                <c:pt idx="1">
                  <c:v>Cosmetics</c:v>
                </c:pt>
              </c:strCache>
            </c:strRef>
          </c:cat>
          <c:val>
            <c:numRef>
              <c:f>'Basic Info'!$F$2:$G$2</c:f>
              <c:numCache>
                <c:formatCode>0%</c:formatCode>
                <c:ptCount val="2"/>
                <c:pt idx="0">
                  <c:v>0.85</c:v>
                </c:pt>
                <c:pt idx="1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4B-4F1A-B21A-B2A04BF747F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/>
              <a:t>Profit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'Basic Info'!$F$1</c:f>
              <c:strCache>
                <c:ptCount val="1"/>
                <c:pt idx="0">
                  <c:v>Medicine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'Basic Info'!$E$3:$E$4</c:f>
              <c:strCache>
                <c:ptCount val="2"/>
                <c:pt idx="0">
                  <c:v>Gross Profit Margin</c:v>
                </c:pt>
                <c:pt idx="1">
                  <c:v>Net Profit Margin</c:v>
                </c:pt>
              </c:strCache>
            </c:strRef>
          </c:cat>
          <c:val>
            <c:numRef>
              <c:f>'Basic Info'!$F$3:$F$4</c:f>
              <c:numCache>
                <c:formatCode>0%</c:formatCode>
                <c:ptCount val="2"/>
                <c:pt idx="0">
                  <c:v>0.18</c:v>
                </c:pt>
                <c:pt idx="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72-4F08-B95A-99722931EE0B}"/>
            </c:ext>
          </c:extLst>
        </c:ser>
        <c:ser>
          <c:idx val="1"/>
          <c:order val="1"/>
          <c:tx>
            <c:strRef>
              <c:f>'Basic Info'!$G$1</c:f>
              <c:strCache>
                <c:ptCount val="1"/>
                <c:pt idx="0">
                  <c:v>Cosmetics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'Basic Info'!$E$3:$E$4</c:f>
              <c:strCache>
                <c:ptCount val="2"/>
                <c:pt idx="0">
                  <c:v>Gross Profit Margin</c:v>
                </c:pt>
                <c:pt idx="1">
                  <c:v>Net Profit Margin</c:v>
                </c:pt>
              </c:strCache>
            </c:strRef>
          </c:cat>
          <c:val>
            <c:numRef>
              <c:f>'Basic Info'!$G$3:$G$4</c:f>
              <c:numCache>
                <c:formatCode>0%</c:formatCode>
                <c:ptCount val="2"/>
                <c:pt idx="0">
                  <c:v>0.2</c:v>
                </c:pt>
                <c:pt idx="1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72-4F08-B95A-99722931E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9427504"/>
        <c:axId val="709424624"/>
      </c:lineChart>
      <c:catAx>
        <c:axId val="70942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424624"/>
        <c:crosses val="autoZero"/>
        <c:auto val="1"/>
        <c:lblAlgn val="ctr"/>
        <c:lblOffset val="100"/>
        <c:noMultiLvlLbl val="0"/>
      </c:catAx>
      <c:valAx>
        <c:axId val="70942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4275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/>
              <a:t>Order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B0-4531-B6D7-2464BA4E7D7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B0-4531-B6D7-2464BA4E7D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'Basic Info'!$A$7:$A$8</c:f>
              <c:strCache>
                <c:ptCount val="2"/>
                <c:pt idx="0">
                  <c:v>Online Orders (%)</c:v>
                </c:pt>
                <c:pt idx="1">
                  <c:v>In-Store Visits (%)</c:v>
                </c:pt>
              </c:strCache>
            </c:strRef>
          </c:cat>
          <c:val>
            <c:numRef>
              <c:f>'Basic Info'!$B$7:$B$8</c:f>
              <c:numCache>
                <c:formatCode>0%</c:formatCode>
                <c:ptCount val="2"/>
                <c:pt idx="0">
                  <c:v>0.7</c:v>
                </c:pt>
                <c:pt idx="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B0-4531-B6D7-2464BA4E7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'Competitor Analysis'!$A$5</c:f>
              <c:strCache>
                <c:ptCount val="1"/>
                <c:pt idx="0">
                  <c:v>Discount Strategy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'Competitor Analysis'!$B$1:$E$1</c:f>
              <c:strCache>
                <c:ptCount val="4"/>
                <c:pt idx="0">
                  <c:v>Kamalika Kemists</c:v>
                </c:pt>
                <c:pt idx="1">
                  <c:v>Medicine Point</c:v>
                </c:pt>
                <c:pt idx="2">
                  <c:v>Santosh Medical</c:v>
                </c:pt>
                <c:pt idx="3">
                  <c:v>Wellcare Medicos</c:v>
                </c:pt>
              </c:strCache>
            </c:strRef>
          </c:cat>
          <c:val>
            <c:numRef>
              <c:f>'Competitor Analysis'!$B$5:$E$5</c:f>
              <c:numCache>
                <c:formatCode>0%</c:formatCode>
                <c:ptCount val="4"/>
                <c:pt idx="0" formatCode="0.00%">
                  <c:v>8.5000000000000006E-2</c:v>
                </c:pt>
                <c:pt idx="1">
                  <c:v>0.15</c:v>
                </c:pt>
                <c:pt idx="2" formatCode="0.00%">
                  <c:v>7.4999999999999997E-2</c:v>
                </c:pt>
                <c:pt idx="3">
                  <c:v>0.09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5BB-4FDC-BE39-C231650D0AA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57691728"/>
        <c:axId val="1557675408"/>
      </c:lineChart>
      <c:catAx>
        <c:axId val="155769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675408"/>
        <c:crosses val="autoZero"/>
        <c:auto val="1"/>
        <c:lblAlgn val="ctr"/>
        <c:lblOffset val="100"/>
        <c:noMultiLvlLbl val="0"/>
      </c:catAx>
      <c:valAx>
        <c:axId val="155767540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69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'Competitor Analysis'!$A$6</c:f>
              <c:strCache>
                <c:ptCount val="1"/>
                <c:pt idx="0">
                  <c:v>Profit Margins Medicines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'Competitor Analysis'!$B$1:$E$1</c:f>
              <c:strCache>
                <c:ptCount val="4"/>
                <c:pt idx="0">
                  <c:v>Kamalika Kemists</c:v>
                </c:pt>
                <c:pt idx="1">
                  <c:v>Medicine Point</c:v>
                </c:pt>
                <c:pt idx="2">
                  <c:v>Santosh Medical</c:v>
                </c:pt>
                <c:pt idx="3">
                  <c:v>Wellcare Medicos</c:v>
                </c:pt>
              </c:strCache>
            </c:strRef>
          </c:cat>
          <c:val>
            <c:numRef>
              <c:f>'Competitor Analysis'!$B$6:$E$6</c:f>
              <c:numCache>
                <c:formatCode>0%</c:formatCode>
                <c:ptCount val="4"/>
                <c:pt idx="0">
                  <c:v>0.18</c:v>
                </c:pt>
                <c:pt idx="1">
                  <c:v>0.25</c:v>
                </c:pt>
                <c:pt idx="2">
                  <c:v>0.2</c:v>
                </c:pt>
                <c:pt idx="3">
                  <c:v>0.18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01-4F59-BC6C-838ED15FD1C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57695568"/>
        <c:axId val="1557703728"/>
      </c:lineChart>
      <c:catAx>
        <c:axId val="155769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703728"/>
        <c:crosses val="autoZero"/>
        <c:auto val="1"/>
        <c:lblAlgn val="ctr"/>
        <c:lblOffset val="100"/>
        <c:noMultiLvlLbl val="0"/>
      </c:catAx>
      <c:valAx>
        <c:axId val="155770372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69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3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'Competitor Analysis'!$A$7</c:f>
              <c:strCache>
                <c:ptCount val="1"/>
                <c:pt idx="0">
                  <c:v>Profit Margins Cosmetics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'Competitor Analysis'!$B$1:$E$1</c:f>
              <c:strCache>
                <c:ptCount val="4"/>
                <c:pt idx="0">
                  <c:v>Kamalika Kemists</c:v>
                </c:pt>
                <c:pt idx="1">
                  <c:v>Medicine Point</c:v>
                </c:pt>
                <c:pt idx="2">
                  <c:v>Santosh Medical</c:v>
                </c:pt>
                <c:pt idx="3">
                  <c:v>Wellcare Medicos</c:v>
                </c:pt>
              </c:strCache>
            </c:strRef>
          </c:cat>
          <c:val>
            <c:numRef>
              <c:f>'Competitor Analysis'!$B$7:$E$7</c:f>
              <c:numCache>
                <c:formatCode>0.00%</c:formatCode>
                <c:ptCount val="4"/>
                <c:pt idx="0">
                  <c:v>8.5000000000000006E-2</c:v>
                </c:pt>
                <c:pt idx="1">
                  <c:v>0.13500000000000001</c:v>
                </c:pt>
                <c:pt idx="2" formatCode="0%">
                  <c:v>0.1</c:v>
                </c:pt>
                <c:pt idx="3">
                  <c:v>8.5000000000000006E-2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F08-4891-9123-E9DFF03D83E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57705168"/>
        <c:axId val="1557706128"/>
      </c:lineChart>
      <c:catAx>
        <c:axId val="155770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706128"/>
        <c:crosses val="autoZero"/>
        <c:auto val="1"/>
        <c:lblAlgn val="ctr"/>
        <c:lblOffset val="100"/>
        <c:noMultiLvlLbl val="0"/>
      </c:catAx>
      <c:valAx>
        <c:axId val="155770612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705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2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'Competitor Analysis'!$B$12</c:f>
              <c:strCache>
                <c:ptCount val="1"/>
                <c:pt idx="0">
                  <c:v>Kamalika Kemists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'Competitor Analysis'!$A$13:$A$18</c:f>
              <c:strCache>
                <c:ptCount val="6"/>
                <c:pt idx="0">
                  <c:v>Trust</c:v>
                </c:pt>
                <c:pt idx="1">
                  <c:v>Discounts</c:v>
                </c:pt>
                <c:pt idx="2">
                  <c:v>Product Diversification</c:v>
                </c:pt>
                <c:pt idx="3">
                  <c:v>Delivery</c:v>
                </c:pt>
                <c:pt idx="4">
                  <c:v>Digital</c:v>
                </c:pt>
                <c:pt idx="5">
                  <c:v>Customer Experience</c:v>
                </c:pt>
              </c:strCache>
            </c:strRef>
          </c:cat>
          <c:val>
            <c:numRef>
              <c:f>'Competitor Analysis'!$B$13:$B$18</c:f>
              <c:numCache>
                <c:formatCode>General</c:formatCode>
                <c:ptCount val="6"/>
                <c:pt idx="0">
                  <c:v>5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3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FB-4A58-A8EC-74CCBC7E8D65}"/>
            </c:ext>
          </c:extLst>
        </c:ser>
        <c:ser>
          <c:idx val="1"/>
          <c:order val="1"/>
          <c:tx>
            <c:strRef>
              <c:f>'Competitor Analysis'!$C$12</c:f>
              <c:strCache>
                <c:ptCount val="1"/>
                <c:pt idx="0">
                  <c:v>Medicine Point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'Competitor Analysis'!$A$13:$A$18</c:f>
              <c:strCache>
                <c:ptCount val="6"/>
                <c:pt idx="0">
                  <c:v>Trust</c:v>
                </c:pt>
                <c:pt idx="1">
                  <c:v>Discounts</c:v>
                </c:pt>
                <c:pt idx="2">
                  <c:v>Product Diversification</c:v>
                </c:pt>
                <c:pt idx="3">
                  <c:v>Delivery</c:v>
                </c:pt>
                <c:pt idx="4">
                  <c:v>Digital</c:v>
                </c:pt>
                <c:pt idx="5">
                  <c:v>Customer Experience</c:v>
                </c:pt>
              </c:strCache>
            </c:strRef>
          </c:cat>
          <c:val>
            <c:numRef>
              <c:f>'Competitor Analysis'!$C$13:$C$18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FB-4A58-A8EC-74CCBC7E8D65}"/>
            </c:ext>
          </c:extLst>
        </c:ser>
        <c:ser>
          <c:idx val="2"/>
          <c:order val="2"/>
          <c:tx>
            <c:strRef>
              <c:f>'Competitor Analysis'!$D$12</c:f>
              <c:strCache>
                <c:ptCount val="1"/>
                <c:pt idx="0">
                  <c:v>Santosh Medical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'Competitor Analysis'!$A$13:$A$18</c:f>
              <c:strCache>
                <c:ptCount val="6"/>
                <c:pt idx="0">
                  <c:v>Trust</c:v>
                </c:pt>
                <c:pt idx="1">
                  <c:v>Discounts</c:v>
                </c:pt>
                <c:pt idx="2">
                  <c:v>Product Diversification</c:v>
                </c:pt>
                <c:pt idx="3">
                  <c:v>Delivery</c:v>
                </c:pt>
                <c:pt idx="4">
                  <c:v>Digital</c:v>
                </c:pt>
                <c:pt idx="5">
                  <c:v>Customer Experience</c:v>
                </c:pt>
              </c:strCache>
            </c:strRef>
          </c:cat>
          <c:val>
            <c:numRef>
              <c:f>'Competitor Analysis'!$D$13:$D$18</c:f>
              <c:numCache>
                <c:formatCode>General</c:formatCode>
                <c:ptCount val="6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FB-4A58-A8EC-74CCBC7E8D65}"/>
            </c:ext>
          </c:extLst>
        </c:ser>
        <c:ser>
          <c:idx val="3"/>
          <c:order val="3"/>
          <c:tx>
            <c:strRef>
              <c:f>'Competitor Analysis'!$E$12</c:f>
              <c:strCache>
                <c:ptCount val="1"/>
                <c:pt idx="0">
                  <c:v>Wellcare Medicos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'Competitor Analysis'!$A$13:$A$18</c:f>
              <c:strCache>
                <c:ptCount val="6"/>
                <c:pt idx="0">
                  <c:v>Trust</c:v>
                </c:pt>
                <c:pt idx="1">
                  <c:v>Discounts</c:v>
                </c:pt>
                <c:pt idx="2">
                  <c:v>Product Diversification</c:v>
                </c:pt>
                <c:pt idx="3">
                  <c:v>Delivery</c:v>
                </c:pt>
                <c:pt idx="4">
                  <c:v>Digital</c:v>
                </c:pt>
                <c:pt idx="5">
                  <c:v>Customer Experience</c:v>
                </c:pt>
              </c:strCache>
            </c:strRef>
          </c:cat>
          <c:val>
            <c:numRef>
              <c:f>'Competitor Analysis'!$E$13:$E$18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5</c:v>
                </c:pt>
                <c:pt idx="3">
                  <c:v>1</c:v>
                </c:pt>
                <c:pt idx="4">
                  <c:v>5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FB-4A58-A8EC-74CCBC7E8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834272"/>
        <c:axId val="1778832352"/>
      </c:radarChart>
      <c:catAx>
        <c:axId val="177883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832352"/>
        <c:crosses val="autoZero"/>
        <c:auto val="1"/>
        <c:lblAlgn val="ctr"/>
        <c:lblOffset val="100"/>
        <c:noMultiLvlLbl val="0"/>
      </c:catAx>
      <c:valAx>
        <c:axId val="177883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83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'Competitor Analysis'!$B$21</c:f>
              <c:strCache>
                <c:ptCount val="1"/>
                <c:pt idx="0">
                  <c:v>Price Aggressiveness (1-5)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'Competitor Analysis'!$A$22:$A$25</c:f>
              <c:strCache>
                <c:ptCount val="4"/>
                <c:pt idx="0">
                  <c:v>Kamalika Kemists</c:v>
                </c:pt>
                <c:pt idx="1">
                  <c:v>Medicine Point</c:v>
                </c:pt>
                <c:pt idx="2">
                  <c:v>Santosh Medical</c:v>
                </c:pt>
                <c:pt idx="3">
                  <c:v>Wellcare Medicos</c:v>
                </c:pt>
              </c:strCache>
            </c:strRef>
          </c:cat>
          <c:val>
            <c:numRef>
              <c:f>'Competitor Analysis'!$B$22:$B$25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D5-4D64-B015-D826AEDABE72}"/>
            </c:ext>
          </c:extLst>
        </c:ser>
        <c:ser>
          <c:idx val="1"/>
          <c:order val="1"/>
          <c:tx>
            <c:strRef>
              <c:f>'Competitor Analysis'!$C$21</c:f>
              <c:strCache>
                <c:ptCount val="1"/>
                <c:pt idx="0">
                  <c:v>Service Orientation (1-5)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'Competitor Analysis'!$A$22:$A$25</c:f>
              <c:strCache>
                <c:ptCount val="4"/>
                <c:pt idx="0">
                  <c:v>Kamalika Kemists</c:v>
                </c:pt>
                <c:pt idx="1">
                  <c:v>Medicine Point</c:v>
                </c:pt>
                <c:pt idx="2">
                  <c:v>Santosh Medical</c:v>
                </c:pt>
                <c:pt idx="3">
                  <c:v>Wellcare Medicos</c:v>
                </c:pt>
              </c:strCache>
            </c:strRef>
          </c:cat>
          <c:val>
            <c:numRef>
              <c:f>'Competitor Analysis'!$C$22:$C$25</c:f>
              <c:numCache>
                <c:formatCode>General</c:formatCode>
                <c:ptCount val="4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D5-4D64-B015-D826AEDAB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8821312"/>
        <c:axId val="1778831872"/>
      </c:barChart>
      <c:catAx>
        <c:axId val="1778821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831872"/>
        <c:crosses val="autoZero"/>
        <c:auto val="1"/>
        <c:lblAlgn val="ctr"/>
        <c:lblOffset val="100"/>
        <c:noMultiLvlLbl val="0"/>
      </c:catAx>
      <c:valAx>
        <c:axId val="1778831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82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3.xml"/><Relationship Id="rId7" Type="http://schemas.openxmlformats.org/officeDocument/2006/relationships/image" Target="../media/image3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11" Type="http://schemas.openxmlformats.org/officeDocument/2006/relationships/image" Target="../media/image7.svg"/><Relationship Id="rId5" Type="http://schemas.openxmlformats.org/officeDocument/2006/relationships/image" Target="../media/image1.png"/><Relationship Id="rId10" Type="http://schemas.openxmlformats.org/officeDocument/2006/relationships/image" Target="../media/image6.png"/><Relationship Id="rId4" Type="http://schemas.microsoft.com/office/2017/06/relationships/model3d" Target="../media/model3d1.glb"/><Relationship Id="rId9" Type="http://schemas.openxmlformats.org/officeDocument/2006/relationships/image" Target="../media/image5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3</xdr:row>
      <xdr:rowOff>175260</xdr:rowOff>
    </xdr:from>
    <xdr:to>
      <xdr:col>7</xdr:col>
      <xdr:colOff>327660</xdr:colOff>
      <xdr:row>18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EDEA06-1346-48F0-AFEE-2B2A88A9FB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350520</xdr:colOff>
      <xdr:row>3</xdr:row>
      <xdr:rowOff>175260</xdr:rowOff>
    </xdr:from>
    <xdr:to>
      <xdr:col>14</xdr:col>
      <xdr:colOff>579120</xdr:colOff>
      <xdr:row>18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ED13A8-1436-47E9-8A56-1613A55B6F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3</xdr:row>
      <xdr:rowOff>169333</xdr:rowOff>
    </xdr:from>
    <xdr:to>
      <xdr:col>22</xdr:col>
      <xdr:colOff>304800</xdr:colOff>
      <xdr:row>18</xdr:row>
      <xdr:rowOff>169332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A3BF79-9E9A-4AFC-8219-DDE00ED122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493135</xdr:colOff>
      <xdr:row>18</xdr:row>
      <xdr:rowOff>100256</xdr:rowOff>
    </xdr:from>
    <xdr:to>
      <xdr:col>2</xdr:col>
      <xdr:colOff>517240</xdr:colOff>
      <xdr:row>28</xdr:row>
      <xdr:rowOff>33801</xdr:rowOff>
    </xdr:to>
    <mc:AlternateContent xmlns:mc="http://schemas.openxmlformats.org/markup-compatibility/2006">
      <mc:Choice xmlns:am3d="http://schemas.microsoft.com/office/drawing/2017/model3d" Requires="am3d">
        <xdr:graphicFrame macro="">
          <xdr:nvGraphicFramePr>
            <xdr:cNvPr id="5" name="3D Model 4" descr="Male icon">
              <a:extLst>
                <a:ext uri="{FF2B5EF4-FFF2-40B4-BE49-F238E27FC236}">
                  <a16:creationId xmlns:a16="http://schemas.microsoft.com/office/drawing/2014/main" id="{BCC7E970-F654-E164-DDFD-D8B06FC718A0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7/model3d">
              <am3d:model3d xmlns:r="http://schemas.openxmlformats.org/officeDocument/2006/relationships" r:embed="rId4">
                <am3d:spPr>
                  <a:xfrm>
                    <a:off x="0" y="0"/>
                    <a:ext cx="633705" cy="1762345"/>
                  </a:xfrm>
                  <a:prstGeom prst="rect">
                    <a:avLst/>
                  </a:prstGeom>
                </am3d:spPr>
                <am3d:camera>
                  <am3d:pos x="0" y="0" z="50316661"/>
                  <am3d:up dx="0" dy="36000000" dz="0"/>
                  <am3d:lookAt x="0" y="0" z="0"/>
                  <am3d:perspective fov="2700000"/>
                </am3d:camera>
                <am3d:trans>
                  <am3d:meterPerModelUnit n="3029133" d="1000000"/>
                  <am3d:preTrans dx="0" dy="-18000000" dz="2458"/>
                  <am3d:scale>
                    <am3d:sx n="1000000" d="1000000"/>
                    <am3d:sy n="1000000" d="1000000"/>
                    <am3d:sz n="1000000" d="1000000"/>
                  </am3d:scale>
                  <am3d:rot ax="-104365" ay="1321621" az="-39153"/>
                  <am3d:postTrans dx="0" dy="0" dz="0"/>
                </am3d:trans>
                <am3d:raster rName="Office3DRenderer" rVer="16.0.8326">
                  <am3d:blip r:embed="rId5"/>
                </am3d:raster>
                <am3d:objViewport viewportSz="1868791"/>
                <am3d:ambientLight>
                  <am3d:clr>
                    <a:scrgbClr r="50000" g="50000" b="50000"/>
                  </am3d:clr>
                  <am3d:illuminance n="500000" d="1000000"/>
                </am3d:ambientLight>
                <am3d:ptLight rad="0">
                  <am3d:clr>
                    <a:scrgbClr r="100000" g="75000" b="50000"/>
                  </am3d:clr>
                  <am3d:intensity n="9765625" d="1000000"/>
                  <am3d:pos x="21959998" y="70920001" z="16344003"/>
                </am3d:ptLight>
                <am3d:ptLight rad="0">
                  <am3d:clr>
                    <a:scrgbClr r="40000" g="60000" b="95000"/>
                  </am3d:clr>
                  <am3d:intensity n="12250000" d="1000000"/>
                  <am3d:pos x="-37964106" y="51130435" z="57631972"/>
                </am3d:ptLight>
                <am3d:ptLight rad="0">
                  <am3d:clr>
                    <a:scrgbClr r="86837" g="72700" b="100000"/>
                  </am3d:clr>
                  <am3d:intensity n="3125000" d="1000000"/>
                  <am3d:pos x="-37739122" y="58056624" z="-34769649"/>
                </am3d:ptLight>
              </am3d:model3d>
            </a:graphicData>
          </a:graphic>
        </xdr:graphicFrame>
      </mc:Choice>
      <mc:Fallback>
        <xdr:pic>
          <xdr:nvPicPr>
            <xdr:cNvPr id="5" name="3D Model 4" descr="Male icon">
              <a:extLst>
                <a:ext uri="{FF2B5EF4-FFF2-40B4-BE49-F238E27FC236}">
                  <a16:creationId xmlns:a16="http://schemas.microsoft.com/office/drawing/2014/main" id="{BCC7E970-F654-E164-DDFD-D8B06FC718A0}"/>
                </a:ext>
              </a:extLst>
            </xdr:cNvPr>
            <xdr:cNvPicPr>
              <a:picLocks noGrp="1" noRot="1" noChangeAspect="1" noMove="1" noResize="1" noEditPoints="1" noAdjustHandles="1" noChangeArrowheads="1" noChangeShapeType="1" noCrop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102735" y="3365970"/>
              <a:ext cx="633705" cy="1747831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</xdr:col>
      <xdr:colOff>550332</xdr:colOff>
      <xdr:row>22</xdr:row>
      <xdr:rowOff>14112</xdr:rowOff>
    </xdr:from>
    <xdr:to>
      <xdr:col>3</xdr:col>
      <xdr:colOff>529166</xdr:colOff>
      <xdr:row>23</xdr:row>
      <xdr:rowOff>169334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4EB7FF27-1116-9F71-5270-9A9F0D3E2A4D}"/>
            </a:ext>
          </a:extLst>
        </xdr:cNvPr>
        <xdr:cNvSpPr/>
      </xdr:nvSpPr>
      <xdr:spPr>
        <a:xfrm rot="20318875">
          <a:off x="1763888" y="4049890"/>
          <a:ext cx="585611" cy="33866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564444</xdr:colOff>
      <xdr:row>24</xdr:row>
      <xdr:rowOff>14110</xdr:rowOff>
    </xdr:from>
    <xdr:to>
      <xdr:col>3</xdr:col>
      <xdr:colOff>543278</xdr:colOff>
      <xdr:row>25</xdr:row>
      <xdr:rowOff>169332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DA1DCCD0-1119-4049-977B-3C5CFB121554}"/>
            </a:ext>
          </a:extLst>
        </xdr:cNvPr>
        <xdr:cNvSpPr/>
      </xdr:nvSpPr>
      <xdr:spPr>
        <a:xfrm rot="1001665">
          <a:off x="1778000" y="4416777"/>
          <a:ext cx="585611" cy="33866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543279</xdr:colOff>
      <xdr:row>21</xdr:row>
      <xdr:rowOff>21167</xdr:rowOff>
    </xdr:from>
    <xdr:to>
      <xdr:col>5</xdr:col>
      <xdr:colOff>98778</xdr:colOff>
      <xdr:row>22</xdr:row>
      <xdr:rowOff>176388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B01CAF5-7D2E-FD96-09D6-6C2803DECB0D}"/>
            </a:ext>
          </a:extLst>
        </xdr:cNvPr>
        <xdr:cNvSpPr txBox="1"/>
      </xdr:nvSpPr>
      <xdr:spPr>
        <a:xfrm>
          <a:off x="2363612" y="3873500"/>
          <a:ext cx="769055" cy="3386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/>
            <a:t>Amit</a:t>
          </a:r>
        </a:p>
      </xdr:txBody>
    </xdr:sp>
    <xdr:clientData/>
  </xdr:twoCellAnchor>
  <xdr:twoCellAnchor>
    <xdr:from>
      <xdr:col>3</xdr:col>
      <xdr:colOff>557389</xdr:colOff>
      <xdr:row>24</xdr:row>
      <xdr:rowOff>105832</xdr:rowOff>
    </xdr:from>
    <xdr:to>
      <xdr:col>5</xdr:col>
      <xdr:colOff>162278</xdr:colOff>
      <xdr:row>26</xdr:row>
      <xdr:rowOff>77609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C68DEDF-5DB2-4071-B0EC-A3C915F69533}"/>
            </a:ext>
          </a:extLst>
        </xdr:cNvPr>
        <xdr:cNvSpPr txBox="1"/>
      </xdr:nvSpPr>
      <xdr:spPr>
        <a:xfrm>
          <a:off x="2377722" y="4508499"/>
          <a:ext cx="818445" cy="3386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/>
            <a:t>Anoop</a:t>
          </a:r>
        </a:p>
      </xdr:txBody>
    </xdr:sp>
    <xdr:clientData/>
  </xdr:twoCellAnchor>
  <xdr:twoCellAnchor>
    <xdr:from>
      <xdr:col>1</xdr:col>
      <xdr:colOff>472723</xdr:colOff>
      <xdr:row>27</xdr:row>
      <xdr:rowOff>176389</xdr:rowOff>
    </xdr:from>
    <xdr:to>
      <xdr:col>2</xdr:col>
      <xdr:colOff>529167</xdr:colOff>
      <xdr:row>30</xdr:row>
      <xdr:rowOff>14112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60FB71A-A095-B585-7091-DB41719D8557}"/>
            </a:ext>
          </a:extLst>
        </xdr:cNvPr>
        <xdr:cNvSpPr txBox="1"/>
      </xdr:nvSpPr>
      <xdr:spPr>
        <a:xfrm>
          <a:off x="1079501" y="5129389"/>
          <a:ext cx="663222" cy="3880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/>
            <a:t>Staff</a:t>
          </a:r>
          <a:endParaRPr lang="en-IN" sz="900"/>
        </a:p>
      </xdr:txBody>
    </xdr:sp>
    <xdr:clientData/>
  </xdr:twoCellAnchor>
  <xdr:twoCellAnchor editAs="oneCell">
    <xdr:from>
      <xdr:col>6</xdr:col>
      <xdr:colOff>204609</xdr:colOff>
      <xdr:row>18</xdr:row>
      <xdr:rowOff>7054</xdr:rowOff>
    </xdr:from>
    <xdr:to>
      <xdr:col>9</xdr:col>
      <xdr:colOff>155221</xdr:colOff>
      <xdr:row>27</xdr:row>
      <xdr:rowOff>126999</xdr:rowOff>
    </xdr:to>
    <xdr:pic>
      <xdr:nvPicPr>
        <xdr:cNvPr id="14" name="Graphic 13" descr="Group with solid fill">
          <a:extLst>
            <a:ext uri="{FF2B5EF4-FFF2-40B4-BE49-F238E27FC236}">
              <a16:creationId xmlns:a16="http://schemas.microsoft.com/office/drawing/2014/main" id="{5D449A9E-15E2-0922-5EEA-A622D39C3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845276" y="3309054"/>
          <a:ext cx="1770945" cy="1770945"/>
        </a:xfrm>
        <a:prstGeom prst="rect">
          <a:avLst/>
        </a:prstGeom>
      </xdr:spPr>
    </xdr:pic>
    <xdr:clientData/>
  </xdr:twoCellAnchor>
  <xdr:twoCellAnchor>
    <xdr:from>
      <xdr:col>6</xdr:col>
      <xdr:colOff>592665</xdr:colOff>
      <xdr:row>25</xdr:row>
      <xdr:rowOff>169333</xdr:rowOff>
    </xdr:from>
    <xdr:to>
      <xdr:col>8</xdr:col>
      <xdr:colOff>430388</xdr:colOff>
      <xdr:row>30</xdr:row>
      <xdr:rowOff>21166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5D2EFC3-5BB0-6CD5-86B7-459302424E18}"/>
            </a:ext>
          </a:extLst>
        </xdr:cNvPr>
        <xdr:cNvSpPr txBox="1"/>
      </xdr:nvSpPr>
      <xdr:spPr>
        <a:xfrm>
          <a:off x="4233332" y="4755444"/>
          <a:ext cx="1051278" cy="7690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/>
            <a:t>Average Footfall</a:t>
          </a:r>
          <a:endParaRPr lang="en-IN" sz="900"/>
        </a:p>
      </xdr:txBody>
    </xdr:sp>
    <xdr:clientData/>
  </xdr:twoCellAnchor>
  <xdr:twoCellAnchor>
    <xdr:from>
      <xdr:col>9</xdr:col>
      <xdr:colOff>134057</xdr:colOff>
      <xdr:row>22</xdr:row>
      <xdr:rowOff>148166</xdr:rowOff>
    </xdr:from>
    <xdr:to>
      <xdr:col>10</xdr:col>
      <xdr:colOff>437446</xdr:colOff>
      <xdr:row>25</xdr:row>
      <xdr:rowOff>176389</xdr:rowOff>
    </xdr:to>
    <xdr:sp macro="" textlink="">
      <xdr:nvSpPr>
        <xdr:cNvPr id="16" name="Arrow: Right 15">
          <a:extLst>
            <a:ext uri="{FF2B5EF4-FFF2-40B4-BE49-F238E27FC236}">
              <a16:creationId xmlns:a16="http://schemas.microsoft.com/office/drawing/2014/main" id="{B584B41B-C6FB-257A-2397-D05095895DD4}"/>
            </a:ext>
          </a:extLst>
        </xdr:cNvPr>
        <xdr:cNvSpPr/>
      </xdr:nvSpPr>
      <xdr:spPr>
        <a:xfrm>
          <a:off x="5595057" y="4183944"/>
          <a:ext cx="910167" cy="57855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479778</xdr:colOff>
      <xdr:row>22</xdr:row>
      <xdr:rowOff>148165</xdr:rowOff>
    </xdr:from>
    <xdr:to>
      <xdr:col>11</xdr:col>
      <xdr:colOff>522112</xdr:colOff>
      <xdr:row>25</xdr:row>
      <xdr:rowOff>183443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E627FF4-BB82-F7FC-CAB1-6697DE676A7B}"/>
            </a:ext>
          </a:extLst>
        </xdr:cNvPr>
        <xdr:cNvSpPr txBox="1"/>
      </xdr:nvSpPr>
      <xdr:spPr>
        <a:xfrm>
          <a:off x="6547556" y="4183943"/>
          <a:ext cx="649112" cy="5856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600"/>
            <a:t>50</a:t>
          </a:r>
          <a:endParaRPr lang="en-IN" sz="1100"/>
        </a:p>
      </xdr:txBody>
    </xdr:sp>
    <xdr:clientData/>
  </xdr:twoCellAnchor>
  <xdr:twoCellAnchor editAs="oneCell">
    <xdr:from>
      <xdr:col>12</xdr:col>
      <xdr:colOff>500943</xdr:colOff>
      <xdr:row>18</xdr:row>
      <xdr:rowOff>53621</xdr:rowOff>
    </xdr:from>
    <xdr:to>
      <xdr:col>15</xdr:col>
      <xdr:colOff>388373</xdr:colOff>
      <xdr:row>26</xdr:row>
      <xdr:rowOff>14109</xdr:rowOff>
    </xdr:to>
    <xdr:pic>
      <xdr:nvPicPr>
        <xdr:cNvPr id="21" name="Graphic 20" descr="Users with solid fill">
          <a:extLst>
            <a:ext uri="{FF2B5EF4-FFF2-40B4-BE49-F238E27FC236}">
              <a16:creationId xmlns:a16="http://schemas.microsoft.com/office/drawing/2014/main" id="{00B4D445-E34B-D186-01F0-6A9FBFAFB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7782276" y="3355621"/>
          <a:ext cx="1707764" cy="1428044"/>
        </a:xfrm>
        <a:prstGeom prst="rect">
          <a:avLst/>
        </a:prstGeom>
      </xdr:spPr>
    </xdr:pic>
    <xdr:clientData/>
  </xdr:twoCellAnchor>
  <xdr:twoCellAnchor>
    <xdr:from>
      <xdr:col>13</xdr:col>
      <xdr:colOff>148167</xdr:colOff>
      <xdr:row>25</xdr:row>
      <xdr:rowOff>42333</xdr:rowOff>
    </xdr:from>
    <xdr:to>
      <xdr:col>15</xdr:col>
      <xdr:colOff>275166</xdr:colOff>
      <xdr:row>28</xdr:row>
      <xdr:rowOff>119945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59D7F46-0D4C-81D0-769A-78FE24EE6D2D}"/>
            </a:ext>
          </a:extLst>
        </xdr:cNvPr>
        <xdr:cNvSpPr txBox="1"/>
      </xdr:nvSpPr>
      <xdr:spPr>
        <a:xfrm>
          <a:off x="8036278" y="4628444"/>
          <a:ext cx="1340555" cy="6279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/>
            <a:t>Suppliers</a:t>
          </a:r>
          <a:endParaRPr lang="en-IN" sz="1100"/>
        </a:p>
      </xdr:txBody>
    </xdr:sp>
    <xdr:clientData/>
  </xdr:twoCellAnchor>
  <xdr:twoCellAnchor>
    <xdr:from>
      <xdr:col>15</xdr:col>
      <xdr:colOff>493888</xdr:colOff>
      <xdr:row>21</xdr:row>
      <xdr:rowOff>42333</xdr:rowOff>
    </xdr:from>
    <xdr:to>
      <xdr:col>17</xdr:col>
      <xdr:colOff>190500</xdr:colOff>
      <xdr:row>24</xdr:row>
      <xdr:rowOff>70555</xdr:rowOff>
    </xdr:to>
    <xdr:sp macro="" textlink="">
      <xdr:nvSpPr>
        <xdr:cNvPr id="24" name="Arrow: Right 23">
          <a:extLst>
            <a:ext uri="{FF2B5EF4-FFF2-40B4-BE49-F238E27FC236}">
              <a16:creationId xmlns:a16="http://schemas.microsoft.com/office/drawing/2014/main" id="{31E993F4-4605-493C-B60C-34E3919E51CD}"/>
            </a:ext>
          </a:extLst>
        </xdr:cNvPr>
        <xdr:cNvSpPr/>
      </xdr:nvSpPr>
      <xdr:spPr>
        <a:xfrm rot="20782402">
          <a:off x="9595555" y="3894666"/>
          <a:ext cx="910167" cy="57855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/>
            <a:t>Major</a:t>
          </a:r>
          <a:endParaRPr lang="en-IN" sz="1100"/>
        </a:p>
      </xdr:txBody>
    </xdr:sp>
    <xdr:clientData/>
  </xdr:twoCellAnchor>
  <xdr:twoCellAnchor>
    <xdr:from>
      <xdr:col>15</xdr:col>
      <xdr:colOff>515056</xdr:colOff>
      <xdr:row>24</xdr:row>
      <xdr:rowOff>35277</xdr:rowOff>
    </xdr:from>
    <xdr:to>
      <xdr:col>17</xdr:col>
      <xdr:colOff>211668</xdr:colOff>
      <xdr:row>27</xdr:row>
      <xdr:rowOff>63500</xdr:rowOff>
    </xdr:to>
    <xdr:sp macro="" textlink="">
      <xdr:nvSpPr>
        <xdr:cNvPr id="25" name="Arrow: Right 24">
          <a:extLst>
            <a:ext uri="{FF2B5EF4-FFF2-40B4-BE49-F238E27FC236}">
              <a16:creationId xmlns:a16="http://schemas.microsoft.com/office/drawing/2014/main" id="{C1DE6C7D-8022-4440-A884-006A23820A07}"/>
            </a:ext>
          </a:extLst>
        </xdr:cNvPr>
        <xdr:cNvSpPr/>
      </xdr:nvSpPr>
      <xdr:spPr>
        <a:xfrm rot="459298">
          <a:off x="9616723" y="4437944"/>
          <a:ext cx="910167" cy="57855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/>
            <a:t>Minor</a:t>
          </a:r>
          <a:endParaRPr lang="en-IN" sz="1100"/>
        </a:p>
      </xdr:txBody>
    </xdr:sp>
    <xdr:clientData/>
  </xdr:twoCellAnchor>
  <xdr:twoCellAnchor>
    <xdr:from>
      <xdr:col>17</xdr:col>
      <xdr:colOff>225778</xdr:colOff>
      <xdr:row>20</xdr:row>
      <xdr:rowOff>119944</xdr:rowOff>
    </xdr:from>
    <xdr:to>
      <xdr:col>17</xdr:col>
      <xdr:colOff>599722</xdr:colOff>
      <xdr:row>23</xdr:row>
      <xdr:rowOff>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5522645-3D7F-882B-C68E-974A48F931FD}"/>
            </a:ext>
          </a:extLst>
        </xdr:cNvPr>
        <xdr:cNvSpPr txBox="1"/>
      </xdr:nvSpPr>
      <xdr:spPr>
        <a:xfrm>
          <a:off x="10541000" y="3788833"/>
          <a:ext cx="373944" cy="4303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800"/>
            <a:t>5</a:t>
          </a:r>
          <a:endParaRPr lang="en-IN" sz="1100"/>
        </a:p>
      </xdr:txBody>
    </xdr:sp>
    <xdr:clientData/>
  </xdr:twoCellAnchor>
  <xdr:twoCellAnchor>
    <xdr:from>
      <xdr:col>17</xdr:col>
      <xdr:colOff>239889</xdr:colOff>
      <xdr:row>24</xdr:row>
      <xdr:rowOff>148166</xdr:rowOff>
    </xdr:from>
    <xdr:to>
      <xdr:col>18</xdr:col>
      <xdr:colOff>7055</xdr:colOff>
      <xdr:row>27</xdr:row>
      <xdr:rowOff>28222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CF04562-1C3F-4184-99E9-056BC1CC7390}"/>
            </a:ext>
          </a:extLst>
        </xdr:cNvPr>
        <xdr:cNvSpPr txBox="1"/>
      </xdr:nvSpPr>
      <xdr:spPr>
        <a:xfrm>
          <a:off x="10555111" y="4550833"/>
          <a:ext cx="373944" cy="4303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800"/>
            <a:t>5</a:t>
          </a:r>
          <a:endParaRPr lang="en-IN" sz="1100"/>
        </a:p>
      </xdr:txBody>
    </xdr:sp>
    <xdr:clientData/>
  </xdr:twoCellAnchor>
  <xdr:twoCellAnchor editAs="oneCell">
    <xdr:from>
      <xdr:col>19</xdr:col>
      <xdr:colOff>0</xdr:colOff>
      <xdr:row>18</xdr:row>
      <xdr:rowOff>119945</xdr:rowOff>
    </xdr:from>
    <xdr:to>
      <xdr:col>20</xdr:col>
      <xdr:colOff>585610</xdr:colOff>
      <xdr:row>25</xdr:row>
      <xdr:rowOff>28222</xdr:rowOff>
    </xdr:to>
    <xdr:pic>
      <xdr:nvPicPr>
        <xdr:cNvPr id="29" name="Graphic 28" descr="Clock with solid fill">
          <a:extLst>
            <a:ext uri="{FF2B5EF4-FFF2-40B4-BE49-F238E27FC236}">
              <a16:creationId xmlns:a16="http://schemas.microsoft.com/office/drawing/2014/main" id="{EBA38DFE-CCB6-F4F1-25A2-FE692BC3F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1528778" y="3421945"/>
          <a:ext cx="1192388" cy="1192388"/>
        </a:xfrm>
        <a:prstGeom prst="rect">
          <a:avLst/>
        </a:prstGeom>
      </xdr:spPr>
    </xdr:pic>
    <xdr:clientData/>
  </xdr:twoCellAnchor>
  <xdr:twoCellAnchor>
    <xdr:from>
      <xdr:col>18</xdr:col>
      <xdr:colOff>557390</xdr:colOff>
      <xdr:row>24</xdr:row>
      <xdr:rowOff>112889</xdr:rowOff>
    </xdr:from>
    <xdr:to>
      <xdr:col>21</xdr:col>
      <xdr:colOff>275167</xdr:colOff>
      <xdr:row>29</xdr:row>
      <xdr:rowOff>70555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BB2F42BF-6D67-7765-8FF8-AE576B22AE35}"/>
            </a:ext>
          </a:extLst>
        </xdr:cNvPr>
        <xdr:cNvSpPr txBox="1"/>
      </xdr:nvSpPr>
      <xdr:spPr>
        <a:xfrm>
          <a:off x="11479390" y="4515556"/>
          <a:ext cx="1538110" cy="8748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Daily Operating Hours</a:t>
          </a:r>
          <a:r>
            <a:rPr lang="en-IN"/>
            <a:t> </a:t>
          </a:r>
          <a:endParaRPr lang="en-IN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IN" sz="1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</a:t>
          </a:r>
        </a:p>
        <a:p>
          <a:pPr algn="ctr"/>
          <a:r>
            <a:rPr lang="en-IN" sz="1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  <a:endParaRPr lang="en-IN" sz="1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4</xdr:row>
      <xdr:rowOff>0</xdr:rowOff>
    </xdr:from>
    <xdr:to>
      <xdr:col>7</xdr:col>
      <xdr:colOff>327660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BCEC55-A9D3-4E5B-8C94-57D5CBEEC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396240</xdr:colOff>
      <xdr:row>4</xdr:row>
      <xdr:rowOff>0</xdr:rowOff>
    </xdr:from>
    <xdr:to>
      <xdr:col>15</xdr:col>
      <xdr:colOff>91440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FA6D45-DFE3-41E2-BFD5-299BB6E71C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167640</xdr:colOff>
      <xdr:row>4</xdr:row>
      <xdr:rowOff>0</xdr:rowOff>
    </xdr:from>
    <xdr:to>
      <xdr:col>22</xdr:col>
      <xdr:colOff>472440</xdr:colOff>
      <xdr:row>19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3E673B-26FF-4315-978F-F819B16E2E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30178</xdr:colOff>
      <xdr:row>19</xdr:row>
      <xdr:rowOff>75445</xdr:rowOff>
    </xdr:from>
    <xdr:to>
      <xdr:col>11</xdr:col>
      <xdr:colOff>52812</xdr:colOff>
      <xdr:row>31</xdr:row>
      <xdr:rowOff>30178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C9A9B3-D92C-4B79-8EDC-D420CB3F6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143345</xdr:colOff>
      <xdr:row>19</xdr:row>
      <xdr:rowOff>90534</xdr:rowOff>
    </xdr:from>
    <xdr:to>
      <xdr:col>22</xdr:col>
      <xdr:colOff>475306</xdr:colOff>
      <xdr:row>31</xdr:row>
      <xdr:rowOff>37722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8F9D4E-9303-4B8E-9F46-17F96FACD3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C49B9E-66AF-4BE0-9D8C-218B67C08531}" name="Table2" displayName="Table2" ref="A1:C20" totalsRowShown="0" headerRowDxfId="7">
  <autoFilter ref="A1:C20" xr:uid="{60C49B9E-66AF-4BE0-9D8C-218B67C08531}"/>
  <tableColumns count="3">
    <tableColumn id="1" xr3:uid="{56B55920-0F9C-4E32-B4B3-C12B2DADE602}" name="Metric" dataDxfId="6"/>
    <tableColumn id="2" xr3:uid="{0F3D41D9-4024-4941-89AB-68073DEDC34E}" name="Value"/>
    <tableColumn id="3" xr3:uid="{D4E55020-F2D5-4219-AE66-76000D8AE30C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A61854-E6E8-4525-B5F2-158A8655C636}" name="Table3" displayName="Table3" ref="E1:G4" totalsRowShown="0">
  <autoFilter ref="E1:G4" xr:uid="{AFA61854-E6E8-4525-B5F2-158A8655C636}"/>
  <tableColumns count="3">
    <tableColumn id="1" xr3:uid="{4E658039-FB26-428A-B6E5-6A2357272444}" name="Metric"/>
    <tableColumn id="2" xr3:uid="{01E2F9BD-EAE9-4B97-AD84-876B13C3AA39}" name="Medicine" dataDxfId="5" dataCellStyle="Percent"/>
    <tableColumn id="3" xr3:uid="{BFC84AD6-3138-4169-BA2F-F932CC7C6052}" name="Cosmetics" dataDxfId="4" dataCellStyle="Percent"/>
  </tableColumns>
  <tableStyleInfo name="TableStyleDark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0BC9BF-76B7-4760-BCF2-6A7E6C1FDCF6}" name="Table1" displayName="Table1" ref="A1:E9" totalsRowShown="0" headerRowDxfId="3">
  <autoFilter ref="A1:E9" xr:uid="{BC0BC9BF-76B7-4760-BCF2-6A7E6C1FDCF6}"/>
  <tableColumns count="5">
    <tableColumn id="1" xr3:uid="{E2FEE310-CF05-4DAD-B174-9AEC5D6AF47F}" name="Feature" dataDxfId="2"/>
    <tableColumn id="2" xr3:uid="{54E22367-5756-4564-A231-243574C98BC8}" name="Kamalika Kemists"/>
    <tableColumn id="3" xr3:uid="{05DECB65-5178-43E4-ABB9-B95840236373}" name="Medicine Point"/>
    <tableColumn id="4" xr3:uid="{A6D5E8C4-CAC0-46AB-95A7-EDADB2B3C7A4}" name="Santosh Medical"/>
    <tableColumn id="5" xr3:uid="{A7AD2F72-7C31-4B03-AF3D-7CCEFA7FCACE}" name="Wellcare Medico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C65875-33DE-40D6-B8B4-5C4A925EDFDC}" name="Table4" displayName="Table4" ref="A12:E18" totalsRowShown="0">
  <autoFilter ref="A12:E18" xr:uid="{CAC65875-33DE-40D6-B8B4-5C4A925EDFDC}"/>
  <tableColumns count="5">
    <tableColumn id="1" xr3:uid="{C6F54CAF-7937-4E2A-BAA2-B34D9F326B1A}" name="Feature" dataDxfId="1"/>
    <tableColumn id="2" xr3:uid="{B4DD8211-1DCD-4DCD-9484-6382003EA126}" name="Kamalika Kemists"/>
    <tableColumn id="3" xr3:uid="{A860ECD0-6BF5-49FA-A748-A32C8EDE20C0}" name="Medicine Point"/>
    <tableColumn id="4" xr3:uid="{7DED1B69-EC47-4809-A8C8-694ED8EFDB5B}" name="Santosh Medical"/>
    <tableColumn id="5" xr3:uid="{27F2B592-E045-43C3-9CA4-E2F4DB57C3B4}" name="Wellcare Medico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7EC6FEC-4758-4CAA-896C-D9FC8545187B}" name="Table5" displayName="Table5" ref="A21:C25" totalsRowShown="0">
  <autoFilter ref="A21:C25" xr:uid="{B7EC6FEC-4758-4CAA-896C-D9FC8545187B}"/>
  <tableColumns count="3">
    <tableColumn id="1" xr3:uid="{19ECC59D-CFF8-4800-9320-8E1F513B6A88}" name="Competitor" dataDxfId="0"/>
    <tableColumn id="2" xr3:uid="{D1D1CFBC-8FB0-4699-B2BF-756E8138E38D}" name="Price Aggressiveness (1-5)"/>
    <tableColumn id="3" xr3:uid="{0CA47462-730B-4C67-BCFD-B791A9008A64}" name="Service Orientation (1-5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ABE57-FA6F-4378-B97C-7A8945C5DF6C}">
  <dimension ref="A1:G20"/>
  <sheetViews>
    <sheetView workbookViewId="0"/>
  </sheetViews>
  <sheetFormatPr defaultColWidth="26.6640625" defaultRowHeight="14.4" customHeight="1" x14ac:dyDescent="0.3"/>
  <cols>
    <col min="1" max="1" width="30.6640625" bestFit="1" customWidth="1"/>
    <col min="2" max="2" width="7.88671875" bestFit="1" customWidth="1"/>
    <col min="3" max="3" width="34.109375" bestFit="1" customWidth="1"/>
  </cols>
  <sheetData>
    <row r="1" spans="1:7" ht="14.4" customHeight="1" x14ac:dyDescent="0.3">
      <c r="A1" s="2" t="s">
        <v>0</v>
      </c>
      <c r="B1" s="2" t="s">
        <v>1</v>
      </c>
      <c r="C1" s="2" t="s">
        <v>2</v>
      </c>
      <c r="E1" t="s">
        <v>0</v>
      </c>
      <c r="F1" t="s">
        <v>65</v>
      </c>
      <c r="G1" t="s">
        <v>66</v>
      </c>
    </row>
    <row r="2" spans="1:7" ht="14.4" customHeight="1" x14ac:dyDescent="0.3">
      <c r="A2" s="2" t="s">
        <v>3</v>
      </c>
      <c r="E2" t="s">
        <v>62</v>
      </c>
      <c r="F2" s="3">
        <v>0.85</v>
      </c>
      <c r="G2" s="3">
        <v>0.15</v>
      </c>
    </row>
    <row r="3" spans="1:7" ht="14.4" customHeight="1" x14ac:dyDescent="0.3">
      <c r="A3" s="2" t="s">
        <v>4</v>
      </c>
      <c r="B3">
        <v>1995</v>
      </c>
      <c r="E3" t="s">
        <v>63</v>
      </c>
      <c r="F3" s="3">
        <v>0.18</v>
      </c>
      <c r="G3" s="3">
        <v>0.2</v>
      </c>
    </row>
    <row r="4" spans="1:7" ht="14.4" customHeight="1" x14ac:dyDescent="0.3">
      <c r="A4" s="2" t="s">
        <v>5</v>
      </c>
      <c r="B4" t="s">
        <v>6</v>
      </c>
      <c r="C4" t="s">
        <v>7</v>
      </c>
      <c r="E4" t="s">
        <v>64</v>
      </c>
      <c r="F4" s="3">
        <v>0.08</v>
      </c>
      <c r="G4" s="3">
        <v>0.09</v>
      </c>
    </row>
    <row r="5" spans="1:7" ht="14.4" customHeight="1" x14ac:dyDescent="0.3">
      <c r="A5" s="2" t="s">
        <v>8</v>
      </c>
      <c r="B5" t="s">
        <v>9</v>
      </c>
      <c r="C5" t="s">
        <v>10</v>
      </c>
    </row>
    <row r="6" spans="1:7" ht="14.4" customHeight="1" x14ac:dyDescent="0.3">
      <c r="A6" s="2" t="s">
        <v>11</v>
      </c>
    </row>
    <row r="7" spans="1:7" ht="14.4" customHeight="1" x14ac:dyDescent="0.3">
      <c r="A7" s="2" t="s">
        <v>12</v>
      </c>
      <c r="B7" s="3">
        <v>0.7</v>
      </c>
      <c r="C7" t="s">
        <v>61</v>
      </c>
    </row>
    <row r="8" spans="1:7" ht="14.4" customHeight="1" x14ac:dyDescent="0.3">
      <c r="A8" s="2" t="s">
        <v>13</v>
      </c>
      <c r="B8" s="3">
        <v>0.3</v>
      </c>
    </row>
    <row r="9" spans="1:7" ht="14.4" customHeight="1" x14ac:dyDescent="0.3">
      <c r="A9" s="2" t="s">
        <v>14</v>
      </c>
      <c r="B9" s="1">
        <v>0.85</v>
      </c>
    </row>
    <row r="10" spans="1:7" ht="14.4" customHeight="1" x14ac:dyDescent="0.3">
      <c r="A10" s="2" t="s">
        <v>15</v>
      </c>
      <c r="B10" s="1">
        <v>0.15</v>
      </c>
      <c r="C10" t="s">
        <v>16</v>
      </c>
    </row>
    <row r="11" spans="1:7" ht="14.4" customHeight="1" x14ac:dyDescent="0.3">
      <c r="A11" s="2" t="s">
        <v>17</v>
      </c>
    </row>
    <row r="12" spans="1:7" ht="14.4" customHeight="1" x14ac:dyDescent="0.3">
      <c r="A12" s="2" t="s">
        <v>18</v>
      </c>
      <c r="B12" s="3">
        <v>0.18</v>
      </c>
      <c r="C12" t="s">
        <v>19</v>
      </c>
    </row>
    <row r="13" spans="1:7" ht="14.4" customHeight="1" x14ac:dyDescent="0.3">
      <c r="A13" s="2" t="s">
        <v>67</v>
      </c>
      <c r="B13" s="3">
        <v>0.2</v>
      </c>
      <c r="C13" t="s">
        <v>19</v>
      </c>
    </row>
    <row r="14" spans="1:7" ht="14.4" customHeight="1" x14ac:dyDescent="0.3">
      <c r="A14" s="2" t="s">
        <v>20</v>
      </c>
      <c r="B14" s="3">
        <v>0.08</v>
      </c>
      <c r="C14" t="s">
        <v>21</v>
      </c>
    </row>
    <row r="15" spans="1:7" ht="14.4" customHeight="1" x14ac:dyDescent="0.3">
      <c r="A15" s="2" t="s">
        <v>22</v>
      </c>
      <c r="B15" s="1">
        <v>0.09</v>
      </c>
      <c r="C15" t="s">
        <v>21</v>
      </c>
    </row>
    <row r="16" spans="1:7" ht="14.4" customHeight="1" x14ac:dyDescent="0.3">
      <c r="A16" s="2" t="s">
        <v>23</v>
      </c>
    </row>
    <row r="17" spans="1:3" ht="14.4" customHeight="1" x14ac:dyDescent="0.3">
      <c r="A17" s="2" t="s">
        <v>24</v>
      </c>
      <c r="B17" t="s">
        <v>25</v>
      </c>
      <c r="C17" t="s">
        <v>26</v>
      </c>
    </row>
    <row r="18" spans="1:3" ht="14.4" customHeight="1" x14ac:dyDescent="0.3">
      <c r="A18" s="2" t="s">
        <v>27</v>
      </c>
      <c r="B18">
        <v>2</v>
      </c>
      <c r="C18" t="s">
        <v>28</v>
      </c>
    </row>
    <row r="19" spans="1:3" ht="14.4" customHeight="1" x14ac:dyDescent="0.3">
      <c r="A19" s="2" t="s">
        <v>29</v>
      </c>
      <c r="B19" t="s">
        <v>30</v>
      </c>
    </row>
    <row r="20" spans="1:3" ht="14.4" customHeight="1" x14ac:dyDescent="0.3">
      <c r="A20" s="2" t="s">
        <v>31</v>
      </c>
      <c r="B20" s="3">
        <v>0.5</v>
      </c>
      <c r="C20" t="s">
        <v>32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1DE9C-D4C2-4692-855B-1C74B043060A}">
  <dimension ref="A1:F19"/>
  <sheetViews>
    <sheetView workbookViewId="0">
      <selection activeCell="C23" sqref="C23"/>
    </sheetView>
  </sheetViews>
  <sheetFormatPr defaultColWidth="42.21875" defaultRowHeight="14.4" x14ac:dyDescent="0.3"/>
  <cols>
    <col min="1" max="1" width="41.88671875" bestFit="1" customWidth="1"/>
    <col min="2" max="2" width="22.6640625" bestFit="1" customWidth="1"/>
    <col min="3" max="3" width="38.44140625" bestFit="1" customWidth="1"/>
    <col min="4" max="4" width="25.6640625" bestFit="1" customWidth="1"/>
    <col min="5" max="5" width="30.21875" bestFit="1" customWidth="1"/>
    <col min="6" max="6" width="35" style="17" bestFit="1" customWidth="1"/>
  </cols>
  <sheetData>
    <row r="1" spans="1:6" ht="15.6" x14ac:dyDescent="0.3">
      <c r="A1" s="7" t="s">
        <v>82</v>
      </c>
      <c r="B1" s="18" t="s">
        <v>83</v>
      </c>
      <c r="C1" s="19"/>
      <c r="D1" s="19"/>
      <c r="E1" s="19"/>
      <c r="F1" s="20"/>
    </row>
    <row r="2" spans="1:6" x14ac:dyDescent="0.3">
      <c r="A2" s="8"/>
      <c r="B2" s="8" t="s">
        <v>84</v>
      </c>
      <c r="C2" s="8" t="s">
        <v>85</v>
      </c>
      <c r="D2" s="8" t="s">
        <v>86</v>
      </c>
      <c r="E2" s="8" t="s">
        <v>87</v>
      </c>
      <c r="F2" s="8" t="s">
        <v>88</v>
      </c>
    </row>
    <row r="3" spans="1:6" ht="28.8" x14ac:dyDescent="0.3">
      <c r="A3" s="9" t="s">
        <v>89</v>
      </c>
      <c r="B3" s="10" t="s">
        <v>90</v>
      </c>
      <c r="C3" s="10" t="s">
        <v>91</v>
      </c>
      <c r="D3" s="10" t="s">
        <v>90</v>
      </c>
      <c r="E3" s="11" t="s">
        <v>90</v>
      </c>
      <c r="F3" s="12" t="s">
        <v>91</v>
      </c>
    </row>
    <row r="4" spans="1:6" ht="15.6" x14ac:dyDescent="0.3">
      <c r="A4" s="13">
        <f>AVERAGE(B4:F4)</f>
        <v>4.4000000000000004</v>
      </c>
      <c r="B4" s="14">
        <v>5</v>
      </c>
      <c r="C4" s="14">
        <v>4</v>
      </c>
      <c r="D4" s="14">
        <v>5</v>
      </c>
      <c r="E4" s="14">
        <v>5</v>
      </c>
      <c r="F4" s="15">
        <v>3</v>
      </c>
    </row>
    <row r="5" spans="1:6" x14ac:dyDescent="0.3">
      <c r="A5" s="9" t="s">
        <v>92</v>
      </c>
      <c r="B5" s="10" t="s">
        <v>93</v>
      </c>
      <c r="C5" s="10" t="s">
        <v>93</v>
      </c>
      <c r="D5" s="10" t="s">
        <v>94</v>
      </c>
      <c r="E5" s="10" t="s">
        <v>93</v>
      </c>
      <c r="F5" s="10" t="s">
        <v>95</v>
      </c>
    </row>
    <row r="6" spans="1:6" ht="15.6" x14ac:dyDescent="0.3">
      <c r="A6" s="13">
        <f>AVERAGE(B6:F6)</f>
        <v>5</v>
      </c>
      <c r="B6" s="14">
        <v>5</v>
      </c>
      <c r="C6" s="14">
        <v>5</v>
      </c>
      <c r="D6" s="14">
        <v>5</v>
      </c>
      <c r="E6" s="14">
        <v>5</v>
      </c>
      <c r="F6" s="14">
        <v>5</v>
      </c>
    </row>
    <row r="7" spans="1:6" x14ac:dyDescent="0.3">
      <c r="A7" s="9" t="s">
        <v>96</v>
      </c>
      <c r="B7" s="10" t="s">
        <v>97</v>
      </c>
      <c r="C7" s="10" t="s">
        <v>97</v>
      </c>
      <c r="D7" s="10" t="s">
        <v>98</v>
      </c>
      <c r="E7" s="10" t="s">
        <v>97</v>
      </c>
      <c r="F7" s="10" t="s">
        <v>99</v>
      </c>
    </row>
    <row r="8" spans="1:6" ht="15.6" x14ac:dyDescent="0.3">
      <c r="A8" s="13">
        <f>AVERAGE(B8:F8)</f>
        <v>4.8</v>
      </c>
      <c r="B8" s="14">
        <v>5</v>
      </c>
      <c r="C8" s="14">
        <v>5</v>
      </c>
      <c r="D8" s="14">
        <v>5</v>
      </c>
      <c r="E8" s="14">
        <v>5</v>
      </c>
      <c r="F8" s="14">
        <v>4</v>
      </c>
    </row>
    <row r="9" spans="1:6" x14ac:dyDescent="0.3">
      <c r="A9" s="9" t="s">
        <v>100</v>
      </c>
      <c r="B9" s="10" t="s">
        <v>101</v>
      </c>
      <c r="C9" s="10" t="s">
        <v>101</v>
      </c>
      <c r="D9" s="10" t="s">
        <v>102</v>
      </c>
      <c r="E9" s="10" t="s">
        <v>103</v>
      </c>
      <c r="F9" s="10" t="s">
        <v>104</v>
      </c>
    </row>
    <row r="10" spans="1:6" ht="15.6" x14ac:dyDescent="0.3">
      <c r="A10" s="13">
        <f>AVERAGE(B10:F10)</f>
        <v>4.7</v>
      </c>
      <c r="B10" s="14">
        <v>4.5</v>
      </c>
      <c r="C10" s="14">
        <v>5</v>
      </c>
      <c r="D10" s="14">
        <v>4</v>
      </c>
      <c r="E10" s="14">
        <v>5</v>
      </c>
      <c r="F10" s="14">
        <v>5</v>
      </c>
    </row>
    <row r="11" spans="1:6" x14ac:dyDescent="0.3">
      <c r="A11" s="9" t="s">
        <v>105</v>
      </c>
      <c r="B11" s="10" t="s">
        <v>106</v>
      </c>
      <c r="C11" s="10" t="s">
        <v>107</v>
      </c>
      <c r="D11" s="10" t="s">
        <v>108</v>
      </c>
      <c r="E11" s="10" t="s">
        <v>109</v>
      </c>
      <c r="F11" s="10" t="s">
        <v>110</v>
      </c>
    </row>
    <row r="12" spans="1:6" ht="15.6" x14ac:dyDescent="0.3">
      <c r="A12" s="13">
        <f>AVERAGE(B12:F12)</f>
        <v>4.8</v>
      </c>
      <c r="B12" s="14">
        <v>5</v>
      </c>
      <c r="C12" s="14">
        <v>5</v>
      </c>
      <c r="D12" s="14">
        <v>5</v>
      </c>
      <c r="E12" s="14">
        <v>4</v>
      </c>
      <c r="F12" s="14">
        <v>5</v>
      </c>
    </row>
    <row r="13" spans="1:6" x14ac:dyDescent="0.3">
      <c r="A13" s="9" t="s">
        <v>111</v>
      </c>
      <c r="B13" s="10" t="s">
        <v>112</v>
      </c>
      <c r="C13" s="10" t="s">
        <v>113</v>
      </c>
      <c r="D13" s="10" t="s">
        <v>114</v>
      </c>
      <c r="E13" s="10" t="s">
        <v>115</v>
      </c>
      <c r="F13" s="10" t="s">
        <v>116</v>
      </c>
    </row>
    <row r="14" spans="1:6" ht="15.6" x14ac:dyDescent="0.3">
      <c r="A14" s="13">
        <f>AVERAGE(B14:F14)</f>
        <v>5</v>
      </c>
      <c r="B14" s="14">
        <v>5</v>
      </c>
      <c r="C14" s="14">
        <v>5</v>
      </c>
      <c r="D14" s="14">
        <v>5</v>
      </c>
      <c r="E14" s="14">
        <v>5</v>
      </c>
      <c r="F14" s="14">
        <v>5</v>
      </c>
    </row>
    <row r="15" spans="1:6" x14ac:dyDescent="0.3">
      <c r="A15" s="9" t="s">
        <v>117</v>
      </c>
      <c r="B15" s="10" t="s">
        <v>118</v>
      </c>
      <c r="C15" s="10" t="s">
        <v>119</v>
      </c>
      <c r="D15" s="10" t="s">
        <v>120</v>
      </c>
      <c r="E15" s="10" t="s">
        <v>121</v>
      </c>
      <c r="F15" s="11" t="s">
        <v>120</v>
      </c>
    </row>
    <row r="16" spans="1:6" ht="15.6" x14ac:dyDescent="0.3">
      <c r="A16" s="13">
        <f>AVERAGE(B16:F16)</f>
        <v>4.5999999999999996</v>
      </c>
      <c r="B16" s="14">
        <v>4.5</v>
      </c>
      <c r="C16" s="14">
        <v>4</v>
      </c>
      <c r="D16" s="14">
        <v>5</v>
      </c>
      <c r="E16" s="14">
        <v>4.5</v>
      </c>
      <c r="F16" s="14">
        <v>5</v>
      </c>
    </row>
    <row r="17" spans="1:6" x14ac:dyDescent="0.3">
      <c r="A17" s="9" t="s">
        <v>122</v>
      </c>
      <c r="B17" s="10" t="s">
        <v>123</v>
      </c>
      <c r="C17" s="10" t="s">
        <v>124</v>
      </c>
      <c r="D17" s="10" t="s">
        <v>124</v>
      </c>
      <c r="E17" s="10" t="s">
        <v>125</v>
      </c>
      <c r="F17" s="10" t="s">
        <v>126</v>
      </c>
    </row>
    <row r="18" spans="1:6" ht="15.6" x14ac:dyDescent="0.3">
      <c r="A18" s="13">
        <f>AVERAGE(B18:F18)</f>
        <v>4.7</v>
      </c>
      <c r="B18" s="14">
        <v>5</v>
      </c>
      <c r="C18" s="14">
        <v>5</v>
      </c>
      <c r="D18" s="14">
        <v>5</v>
      </c>
      <c r="E18" s="14">
        <v>5</v>
      </c>
      <c r="F18" s="14">
        <v>3.5</v>
      </c>
    </row>
    <row r="19" spans="1:6" ht="25.8" x14ac:dyDescent="0.35">
      <c r="A19" s="21" t="s">
        <v>127</v>
      </c>
      <c r="B19" s="21"/>
      <c r="C19" s="16">
        <f>AVERAGE(A4,A6,A8,A10,A12,A14,A16,A18)</f>
        <v>4.75</v>
      </c>
    </row>
  </sheetData>
  <mergeCells count="2">
    <mergeCell ref="B1:F1"/>
    <mergeCell ref="A19:B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C950-6393-4723-8542-1B037BA0CBB0}">
  <dimension ref="A1:W3"/>
  <sheetViews>
    <sheetView showGridLines="0" tabSelected="1" zoomScale="105" zoomScaleNormal="105" workbookViewId="0">
      <selection activeCell="P58" sqref="P58"/>
    </sheetView>
  </sheetViews>
  <sheetFormatPr defaultRowHeight="14.4" x14ac:dyDescent="0.3"/>
  <cols>
    <col min="1" max="16384" width="8.88671875" style="5"/>
  </cols>
  <sheetData>
    <row r="1" spans="1:23" x14ac:dyDescent="0.3">
      <c r="A1" s="22" t="s">
        <v>68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1:23" x14ac:dyDescent="0.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3" x14ac:dyDescent="0.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</sheetData>
  <mergeCells count="1">
    <mergeCell ref="A1:W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B1CCB-C7CD-4430-8ECC-EDD78BAE007C}">
  <dimension ref="A1:E25"/>
  <sheetViews>
    <sheetView workbookViewId="0">
      <selection activeCell="B33" sqref="B33"/>
    </sheetView>
  </sheetViews>
  <sheetFormatPr defaultColWidth="49.33203125" defaultRowHeight="14.4" x14ac:dyDescent="0.3"/>
  <cols>
    <col min="1" max="1" width="21.88671875" bestFit="1" customWidth="1"/>
    <col min="2" max="2" width="31.109375" bestFit="1" customWidth="1"/>
    <col min="3" max="3" width="33.33203125" bestFit="1" customWidth="1"/>
    <col min="4" max="4" width="43.109375" bestFit="1" customWidth="1"/>
    <col min="5" max="5" width="33.109375" bestFit="1" customWidth="1"/>
  </cols>
  <sheetData>
    <row r="1" spans="1:5" x14ac:dyDescent="0.3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</row>
    <row r="2" spans="1:5" x14ac:dyDescent="0.3">
      <c r="A2" s="2" t="s">
        <v>38</v>
      </c>
      <c r="B2" t="s">
        <v>39</v>
      </c>
      <c r="C2" t="s">
        <v>40</v>
      </c>
      <c r="D2" t="s">
        <v>41</v>
      </c>
      <c r="E2" t="s">
        <v>42</v>
      </c>
    </row>
    <row r="3" spans="1:5" x14ac:dyDescent="0.3">
      <c r="A3" s="2" t="s">
        <v>43</v>
      </c>
      <c r="B3" t="s">
        <v>44</v>
      </c>
      <c r="C3" t="s">
        <v>45</v>
      </c>
      <c r="D3" t="s">
        <v>46</v>
      </c>
      <c r="E3" t="s">
        <v>47</v>
      </c>
    </row>
    <row r="4" spans="1:5" x14ac:dyDescent="0.3">
      <c r="A4" s="2" t="s">
        <v>48</v>
      </c>
      <c r="B4" t="s">
        <v>49</v>
      </c>
      <c r="C4" t="s">
        <v>50</v>
      </c>
      <c r="D4" t="s">
        <v>51</v>
      </c>
      <c r="E4" t="s">
        <v>52</v>
      </c>
    </row>
    <row r="5" spans="1:5" x14ac:dyDescent="0.3">
      <c r="A5" s="2" t="s">
        <v>53</v>
      </c>
      <c r="B5" s="4">
        <v>8.5000000000000006E-2</v>
      </c>
      <c r="C5" s="1">
        <v>0.15</v>
      </c>
      <c r="D5" s="4">
        <v>7.4999999999999997E-2</v>
      </c>
      <c r="E5" s="1">
        <v>0.09</v>
      </c>
    </row>
    <row r="6" spans="1:5" x14ac:dyDescent="0.3">
      <c r="A6" s="2" t="s">
        <v>69</v>
      </c>
      <c r="B6" s="1">
        <v>0.18</v>
      </c>
      <c r="C6" s="1">
        <v>0.25</v>
      </c>
      <c r="D6" s="1">
        <v>0.2</v>
      </c>
      <c r="E6" s="1">
        <v>0.18</v>
      </c>
    </row>
    <row r="7" spans="1:5" x14ac:dyDescent="0.3">
      <c r="A7" s="2" t="s">
        <v>70</v>
      </c>
      <c r="B7" s="4">
        <v>8.5000000000000006E-2</v>
      </c>
      <c r="C7" s="4">
        <v>0.13500000000000001</v>
      </c>
      <c r="D7" s="1">
        <v>0.1</v>
      </c>
      <c r="E7" s="4">
        <v>8.5000000000000006E-2</v>
      </c>
    </row>
    <row r="8" spans="1:5" x14ac:dyDescent="0.3">
      <c r="A8" s="2" t="s">
        <v>54</v>
      </c>
      <c r="B8" t="s">
        <v>55</v>
      </c>
      <c r="C8" t="s">
        <v>55</v>
      </c>
      <c r="D8" t="s">
        <v>71</v>
      </c>
      <c r="E8" t="s">
        <v>71</v>
      </c>
    </row>
    <row r="9" spans="1:5" x14ac:dyDescent="0.3">
      <c r="A9" s="2" t="s">
        <v>56</v>
      </c>
      <c r="B9" t="s">
        <v>57</v>
      </c>
      <c r="C9" t="s">
        <v>58</v>
      </c>
      <c r="D9" t="s">
        <v>59</v>
      </c>
      <c r="E9" t="s">
        <v>60</v>
      </c>
    </row>
    <row r="11" spans="1:5" x14ac:dyDescent="0.3">
      <c r="D11" s="6" t="s">
        <v>78</v>
      </c>
      <c r="E11" s="6" t="s">
        <v>77</v>
      </c>
    </row>
    <row r="12" spans="1:5" x14ac:dyDescent="0.3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</row>
    <row r="13" spans="1:5" x14ac:dyDescent="0.3">
      <c r="A13" s="2" t="s">
        <v>73</v>
      </c>
      <c r="B13">
        <v>5</v>
      </c>
      <c r="C13">
        <v>1</v>
      </c>
      <c r="D13">
        <v>4</v>
      </c>
      <c r="E13">
        <v>3</v>
      </c>
    </row>
    <row r="14" spans="1:5" x14ac:dyDescent="0.3">
      <c r="A14" s="2" t="s">
        <v>74</v>
      </c>
      <c r="B14">
        <v>2</v>
      </c>
      <c r="C14">
        <v>5</v>
      </c>
      <c r="D14">
        <v>2</v>
      </c>
      <c r="E14">
        <v>3</v>
      </c>
    </row>
    <row r="15" spans="1:5" x14ac:dyDescent="0.3">
      <c r="A15" s="2" t="s">
        <v>60</v>
      </c>
      <c r="B15">
        <v>2</v>
      </c>
      <c r="C15">
        <v>3</v>
      </c>
      <c r="D15">
        <v>3</v>
      </c>
      <c r="E15">
        <v>5</v>
      </c>
    </row>
    <row r="16" spans="1:5" x14ac:dyDescent="0.3">
      <c r="A16" s="2" t="s">
        <v>75</v>
      </c>
      <c r="B16">
        <v>5</v>
      </c>
      <c r="C16">
        <v>2</v>
      </c>
      <c r="D16">
        <v>1</v>
      </c>
      <c r="E16">
        <v>1</v>
      </c>
    </row>
    <row r="17" spans="1:5" x14ac:dyDescent="0.3">
      <c r="A17" s="2" t="s">
        <v>71</v>
      </c>
      <c r="B17">
        <v>3</v>
      </c>
      <c r="C17">
        <v>4</v>
      </c>
      <c r="D17">
        <v>1</v>
      </c>
      <c r="E17">
        <v>5</v>
      </c>
    </row>
    <row r="18" spans="1:5" x14ac:dyDescent="0.3">
      <c r="A18" s="2" t="s">
        <v>76</v>
      </c>
      <c r="B18">
        <v>5</v>
      </c>
      <c r="C18">
        <v>1</v>
      </c>
      <c r="D18">
        <v>4</v>
      </c>
      <c r="E18">
        <v>4</v>
      </c>
    </row>
    <row r="20" spans="1:5" x14ac:dyDescent="0.3">
      <c r="B20" s="6" t="s">
        <v>78</v>
      </c>
      <c r="C20" s="6" t="s">
        <v>77</v>
      </c>
    </row>
    <row r="21" spans="1:5" x14ac:dyDescent="0.3">
      <c r="A21" s="2" t="s">
        <v>79</v>
      </c>
      <c r="B21" s="2" t="s">
        <v>80</v>
      </c>
      <c r="C21" s="2" t="s">
        <v>81</v>
      </c>
    </row>
    <row r="22" spans="1:5" x14ac:dyDescent="0.3">
      <c r="A22" s="2" t="s">
        <v>34</v>
      </c>
      <c r="B22">
        <v>2</v>
      </c>
      <c r="C22">
        <v>5</v>
      </c>
    </row>
    <row r="23" spans="1:5" x14ac:dyDescent="0.3">
      <c r="A23" s="2" t="s">
        <v>35</v>
      </c>
      <c r="B23">
        <v>5</v>
      </c>
      <c r="C23">
        <v>2</v>
      </c>
    </row>
    <row r="24" spans="1:5" x14ac:dyDescent="0.3">
      <c r="A24" s="2" t="s">
        <v>36</v>
      </c>
      <c r="B24">
        <v>2</v>
      </c>
      <c r="C24">
        <v>1</v>
      </c>
    </row>
    <row r="25" spans="1:5" x14ac:dyDescent="0.3">
      <c r="A25" s="2" t="s">
        <v>37</v>
      </c>
      <c r="B25">
        <v>3</v>
      </c>
      <c r="C25">
        <v>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844C4-2E03-4236-9B27-EB74BC7171C0}">
  <dimension ref="A1:W3"/>
  <sheetViews>
    <sheetView showGridLines="0" zoomScale="101" zoomScaleNormal="101" workbookViewId="0">
      <selection activeCell="I42" sqref="I42"/>
    </sheetView>
  </sheetViews>
  <sheetFormatPr defaultRowHeight="14.4" x14ac:dyDescent="0.3"/>
  <sheetData>
    <row r="1" spans="1:23" x14ac:dyDescent="0.3">
      <c r="A1" s="23" t="s">
        <v>72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</row>
    <row r="2" spans="1:23" x14ac:dyDescent="0.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3" spans="1:23" x14ac:dyDescent="0.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</row>
  </sheetData>
  <mergeCells count="1">
    <mergeCell ref="A1:W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Basic Info</vt:lpstr>
      <vt:lpstr>Customer Satisfaction</vt:lpstr>
      <vt:lpstr>Dashboards</vt:lpstr>
      <vt:lpstr>Competitor Analysis</vt:lpstr>
      <vt:lpstr>Competitor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 Jhamb</dc:creator>
  <cp:lastModifiedBy>Parv Jhamb</cp:lastModifiedBy>
  <dcterms:created xsi:type="dcterms:W3CDTF">2025-09-01T16:05:30Z</dcterms:created>
  <dcterms:modified xsi:type="dcterms:W3CDTF">2026-01-21T12:16:00Z</dcterms:modified>
</cp:coreProperties>
</file>